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LS\job\project\"/>
    </mc:Choice>
  </mc:AlternateContent>
  <xr:revisionPtr revIDLastSave="0" documentId="8_{9475FF0A-1AFF-4C07-8B6F-B0F8B4516053}" xr6:coauthVersionLast="47" xr6:coauthVersionMax="47" xr10:uidLastSave="{00000000-0000-0000-0000-000000000000}"/>
  <bookViews>
    <workbookView xWindow="-108" yWindow="-108" windowWidth="23256" windowHeight="12456" xr2:uid="{D45E1A27-6351-469A-8895-CDC7E89A1AEA}"/>
  </bookViews>
  <sheets>
    <sheet name="Sheet1" sheetId="1" r:id="rId1"/>
    <sheet name="Validation_Checks| Patient_ID |" sheetId="2" r:id="rId2"/>
    <sheet name="Query_Log" sheetId="3" r:id="rId3"/>
    <sheet name="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4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2" i="2"/>
  <c r="C3" i="2"/>
  <c r="J3" i="2" s="1"/>
  <c r="C4" i="2"/>
  <c r="J4" i="2" s="1"/>
  <c r="C5" i="2"/>
  <c r="J5" i="2" s="1"/>
  <c r="C6" i="2"/>
  <c r="J6" i="2" s="1"/>
  <c r="C7" i="2"/>
  <c r="J7" i="2" s="1"/>
  <c r="C8" i="2"/>
  <c r="J8" i="2" s="1"/>
  <c r="C9" i="2"/>
  <c r="J9" i="2" s="1"/>
  <c r="C10" i="2"/>
  <c r="J10" i="2" s="1"/>
  <c r="C11" i="2"/>
  <c r="J11" i="2" s="1"/>
  <c r="C12" i="2"/>
  <c r="J12" i="2" s="1"/>
  <c r="C13" i="2"/>
  <c r="J13" i="2" s="1"/>
  <c r="C14" i="2"/>
  <c r="J14" i="2" s="1"/>
  <c r="C15" i="2"/>
  <c r="J15" i="2" s="1"/>
  <c r="C16" i="2"/>
  <c r="J16" i="2" s="1"/>
  <c r="C2" i="2"/>
  <c r="J2" i="2" s="1"/>
  <c r="B3" i="4" s="1"/>
  <c r="B4" i="4" l="1"/>
</calcChain>
</file>

<file path=xl/sharedStrings.xml><?xml version="1.0" encoding="utf-8"?>
<sst xmlns="http://schemas.openxmlformats.org/spreadsheetml/2006/main" count="125" uniqueCount="70">
  <si>
    <t>Patient_ID</t>
  </si>
  <si>
    <t>Patient_Name</t>
  </si>
  <si>
    <t>DOB</t>
  </si>
  <si>
    <t>Visit_Date</t>
  </si>
  <si>
    <t>Gender</t>
  </si>
  <si>
    <t>Age</t>
  </si>
  <si>
    <t>P001</t>
  </si>
  <si>
    <t>John</t>
  </si>
  <si>
    <t>Male</t>
  </si>
  <si>
    <t>P002</t>
  </si>
  <si>
    <t>Sara</t>
  </si>
  <si>
    <t>Female</t>
  </si>
  <si>
    <t>P003</t>
  </si>
  <si>
    <t>David</t>
  </si>
  <si>
    <t>P004</t>
  </si>
  <si>
    <t>Emma</t>
  </si>
  <si>
    <t>P005</t>
  </si>
  <si>
    <t>Alex</t>
  </si>
  <si>
    <t>P006</t>
  </si>
  <si>
    <t>Olivia</t>
  </si>
  <si>
    <t>P007</t>
  </si>
  <si>
    <t>Noah</t>
  </si>
  <si>
    <t>P008</t>
  </si>
  <si>
    <t>Sophia</t>
  </si>
  <si>
    <t>P009</t>
  </si>
  <si>
    <t>Liam</t>
  </si>
  <si>
    <t>Ava</t>
  </si>
  <si>
    <t>P011</t>
  </si>
  <si>
    <t>Mia</t>
  </si>
  <si>
    <t>P012</t>
  </si>
  <si>
    <t>Ethan</t>
  </si>
  <si>
    <t>Lucas</t>
  </si>
  <si>
    <t>P014</t>
  </si>
  <si>
    <t>Grace</t>
  </si>
  <si>
    <t>P015</t>
  </si>
  <si>
    <t>Chloe</t>
  </si>
  <si>
    <t>M</t>
  </si>
  <si>
    <t>Future_Date_Check</t>
  </si>
  <si>
    <t>Missing_Age_Check</t>
  </si>
  <si>
    <t>Gender_Check</t>
  </si>
  <si>
    <t>Missing_ID_Check</t>
  </si>
  <si>
    <t>Duplicate_ID_Check</t>
  </si>
  <si>
    <t>Overall_Status</t>
  </si>
  <si>
    <t>Query_ID</t>
  </si>
  <si>
    <t>Issue_Type</t>
  </si>
  <si>
    <t>Query_Description</t>
  </si>
  <si>
    <t>Status</t>
  </si>
  <si>
    <t>Q001</t>
  </si>
  <si>
    <t>Future Date</t>
  </si>
  <si>
    <t>Visit date is in the future. Please verify.</t>
  </si>
  <si>
    <t>Open</t>
  </si>
  <si>
    <t>Q002</t>
  </si>
  <si>
    <t>Missing Age</t>
  </si>
  <si>
    <t>Age is missing. Please update.</t>
  </si>
  <si>
    <t>Q003</t>
  </si>
  <si>
    <t>Invalid Gender</t>
  </si>
  <si>
    <t>Gender value is invalid. Please verify.</t>
  </si>
  <si>
    <t>Q004</t>
  </si>
  <si>
    <t>Blank ID Record</t>
  </si>
  <si>
    <t>Missing Patient ID</t>
  </si>
  <si>
    <t>Patient ID is missing. Please provide.</t>
  </si>
  <si>
    <t>Q005</t>
  </si>
  <si>
    <t>Duplicate ID</t>
  </si>
  <si>
    <t>Duplicate Patient ID detected. Please review.</t>
  </si>
  <si>
    <t>Metric</t>
  </si>
  <si>
    <t>Value</t>
  </si>
  <si>
    <t>Total Records</t>
  </si>
  <si>
    <t>Total PASS</t>
  </si>
  <si>
    <t>Total FAIL</t>
  </si>
  <si>
    <t>Open Queries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</si>
</sst>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15" fontId="0" fillId="2" borderId="2" xfId="0" applyNumberFormat="1" applyFont="1" applyFill="1" applyBorder="1" applyAlignment="1">
      <alignment vertical="center" wrapText="1"/>
    </xf>
    <xf numFmtId="15" fontId="0" fillId="0" borderId="2" xfId="0" applyNumberFormat="1" applyFont="1" applyBorder="1" applyAlignment="1">
      <alignment vertical="center" wrapText="1"/>
    </xf>
    <xf numFmtId="0" fontId="0" fillId="2" borderId="3" xfId="0" applyFont="1" applyFill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13">
    <dxf>
      <font>
        <color theme="9"/>
      </font>
    </dxf>
    <dxf>
      <font>
        <color rgb="FFFF0000"/>
      </font>
    </dxf>
    <dxf>
      <font>
        <color theme="9"/>
      </font>
    </dxf>
    <dxf>
      <font>
        <color theme="9"/>
      </font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172A9-220B-44C8-A001-164CBADA59AE}" name="Patient_Data" displayName="Patient_Data" ref="A1:F16" totalsRowShown="0" headerRowDxfId="5" dataDxfId="6">
  <autoFilter ref="A1:F16" xr:uid="{885172A9-220B-44C8-A001-164CBADA59AE}"/>
  <tableColumns count="6">
    <tableColumn id="1" xr3:uid="{40D54376-DD35-4A80-B1BE-6D3B03DA36D1}" name="Patient_ID" dataDxfId="12"/>
    <tableColumn id="2" xr3:uid="{E0BE11EE-D13F-4475-B4F9-421FDC7A931A}" name="Patient_Name" dataDxfId="11"/>
    <tableColumn id="3" xr3:uid="{C7DDE4AA-4815-464B-876F-BD13B90A70F7}" name="DOB" dataDxfId="10"/>
    <tableColumn id="4" xr3:uid="{7361F8F2-DADB-4091-AE26-9976A9A826D0}" name="Visit_Date" dataDxfId="9"/>
    <tableColumn id="5" xr3:uid="{C67B7788-E4E0-42C0-9F13-12004604BD25}" name="Gender" dataDxfId="8"/>
    <tableColumn id="6" xr3:uid="{E636D543-0E41-42E5-BF26-D3B277021062}" name="Age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A45E8-F038-4AE3-95AC-F9C6E6BE8709}">
  <dimension ref="A1:F16"/>
  <sheetViews>
    <sheetView tabSelected="1" workbookViewId="0">
      <selection activeCell="E2" sqref="E2:E16"/>
    </sheetView>
  </sheetViews>
  <sheetFormatPr defaultRowHeight="14.4" x14ac:dyDescent="0.3"/>
  <cols>
    <col min="1" max="1" width="11.6640625" customWidth="1"/>
    <col min="2" max="2" width="14.88671875" customWidth="1"/>
    <col min="3" max="3" width="14.5546875" customWidth="1"/>
    <col min="4" max="4" width="13.33203125" customWidth="1"/>
    <col min="5" max="5" width="9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3">
        <v>32888</v>
      </c>
      <c r="D2" s="3">
        <v>45787</v>
      </c>
      <c r="E2" s="2" t="s">
        <v>8</v>
      </c>
      <c r="F2" s="2">
        <v>35</v>
      </c>
    </row>
    <row r="3" spans="1:6" x14ac:dyDescent="0.3">
      <c r="A3" s="2" t="s">
        <v>9</v>
      </c>
      <c r="B3" s="2" t="s">
        <v>10</v>
      </c>
      <c r="C3" s="3">
        <v>31220</v>
      </c>
      <c r="D3" s="3">
        <v>47623</v>
      </c>
      <c r="E3" s="2" t="s">
        <v>11</v>
      </c>
      <c r="F3" s="2">
        <v>40</v>
      </c>
    </row>
    <row r="4" spans="1:6" x14ac:dyDescent="0.3">
      <c r="A4" s="2" t="s">
        <v>12</v>
      </c>
      <c r="B4" s="2" t="s">
        <v>13</v>
      </c>
      <c r="C4" s="3">
        <v>33668</v>
      </c>
      <c r="D4" s="3">
        <v>45809</v>
      </c>
      <c r="E4" s="2" t="s">
        <v>8</v>
      </c>
      <c r="F4" s="2">
        <v>33</v>
      </c>
    </row>
    <row r="5" spans="1:6" x14ac:dyDescent="0.3">
      <c r="A5" s="2" t="s">
        <v>14</v>
      </c>
      <c r="B5" s="2" t="s">
        <v>15</v>
      </c>
      <c r="C5" s="3">
        <v>32373</v>
      </c>
      <c r="D5" s="3">
        <v>45823</v>
      </c>
      <c r="E5" s="2" t="s">
        <v>11</v>
      </c>
      <c r="F5" s="2">
        <v>37</v>
      </c>
    </row>
    <row r="6" spans="1:6" x14ac:dyDescent="0.3">
      <c r="A6" s="2" t="s">
        <v>16</v>
      </c>
      <c r="B6" s="2" t="s">
        <v>17</v>
      </c>
      <c r="C6" s="3">
        <v>34982</v>
      </c>
      <c r="D6" s="3">
        <v>45820</v>
      </c>
      <c r="E6" s="2" t="s">
        <v>8</v>
      </c>
      <c r="F6" s="2"/>
    </row>
    <row r="7" spans="1:6" x14ac:dyDescent="0.3">
      <c r="A7" s="2" t="s">
        <v>18</v>
      </c>
      <c r="B7" s="2" t="s">
        <v>19</v>
      </c>
      <c r="C7" s="3">
        <v>33597</v>
      </c>
      <c r="D7" s="3">
        <v>45826</v>
      </c>
      <c r="E7" s="2" t="s">
        <v>11</v>
      </c>
      <c r="F7" s="2">
        <v>34</v>
      </c>
    </row>
    <row r="8" spans="1:6" x14ac:dyDescent="0.3">
      <c r="A8" s="2" t="s">
        <v>20</v>
      </c>
      <c r="B8" s="2" t="s">
        <v>21</v>
      </c>
      <c r="C8" s="3">
        <v>31881</v>
      </c>
      <c r="D8" s="3">
        <v>45830</v>
      </c>
      <c r="E8" s="2" t="s">
        <v>36</v>
      </c>
      <c r="F8" s="2">
        <v>38</v>
      </c>
    </row>
    <row r="9" spans="1:6" x14ac:dyDescent="0.3">
      <c r="A9" s="2" t="s">
        <v>22</v>
      </c>
      <c r="B9" s="2" t="s">
        <v>23</v>
      </c>
      <c r="C9" s="3">
        <v>34180</v>
      </c>
      <c r="D9" s="3">
        <v>45833</v>
      </c>
      <c r="E9" s="2" t="s">
        <v>11</v>
      </c>
      <c r="F9" s="2">
        <v>32</v>
      </c>
    </row>
    <row r="10" spans="1:6" x14ac:dyDescent="0.3">
      <c r="A10" s="2" t="s">
        <v>24</v>
      </c>
      <c r="B10" s="2" t="s">
        <v>25</v>
      </c>
      <c r="C10" s="3">
        <v>32913</v>
      </c>
      <c r="D10" s="3">
        <v>45836</v>
      </c>
      <c r="E10" s="2" t="s">
        <v>8</v>
      </c>
      <c r="F10" s="2">
        <v>35</v>
      </c>
    </row>
    <row r="11" spans="1:6" x14ac:dyDescent="0.3">
      <c r="A11" s="2"/>
      <c r="B11" s="2" t="s">
        <v>26</v>
      </c>
      <c r="C11" s="3">
        <v>32823</v>
      </c>
      <c r="D11" s="3">
        <v>45838</v>
      </c>
      <c r="E11" s="2" t="s">
        <v>11</v>
      </c>
      <c r="F11" s="2">
        <v>36</v>
      </c>
    </row>
    <row r="12" spans="1:6" x14ac:dyDescent="0.3">
      <c r="A12" s="2" t="s">
        <v>27</v>
      </c>
      <c r="B12" s="2" t="s">
        <v>28</v>
      </c>
      <c r="C12" s="3">
        <v>34335</v>
      </c>
      <c r="D12" s="3">
        <v>45840</v>
      </c>
      <c r="E12" s="2" t="s">
        <v>11</v>
      </c>
      <c r="F12" s="2">
        <v>31</v>
      </c>
    </row>
    <row r="13" spans="1:6" x14ac:dyDescent="0.3">
      <c r="A13" s="2" t="s">
        <v>29</v>
      </c>
      <c r="B13" s="2" t="s">
        <v>30</v>
      </c>
      <c r="C13" s="3">
        <v>31674</v>
      </c>
      <c r="D13" s="3">
        <v>45843</v>
      </c>
      <c r="E13" s="2" t="s">
        <v>8</v>
      </c>
      <c r="F13" s="2">
        <v>39</v>
      </c>
    </row>
    <row r="14" spans="1:6" x14ac:dyDescent="0.3">
      <c r="A14" s="2" t="s">
        <v>6</v>
      </c>
      <c r="B14" s="2" t="s">
        <v>31</v>
      </c>
      <c r="C14" s="3">
        <v>33381</v>
      </c>
      <c r="D14" s="3">
        <v>45846</v>
      </c>
      <c r="E14" s="2" t="s">
        <v>8</v>
      </c>
      <c r="F14" s="2">
        <v>34</v>
      </c>
    </row>
    <row r="15" spans="1:6" x14ac:dyDescent="0.3">
      <c r="A15" s="2" t="s">
        <v>32</v>
      </c>
      <c r="B15" s="2" t="s">
        <v>33</v>
      </c>
      <c r="C15" s="3">
        <v>33945</v>
      </c>
      <c r="D15" s="3">
        <v>45848</v>
      </c>
      <c r="E15" s="2" t="s">
        <v>11</v>
      </c>
      <c r="F15" s="2">
        <v>33</v>
      </c>
    </row>
    <row r="16" spans="1:6" x14ac:dyDescent="0.3">
      <c r="A16" s="2" t="s">
        <v>34</v>
      </c>
      <c r="B16" s="2" t="s">
        <v>35</v>
      </c>
      <c r="C16" s="3">
        <v>32214</v>
      </c>
      <c r="D16" s="3">
        <v>45853</v>
      </c>
      <c r="E16" s="2" t="s">
        <v>11</v>
      </c>
      <c r="F16" s="2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0555-1570-470C-B33A-5B998A236592}">
  <dimension ref="A1:J16"/>
  <sheetViews>
    <sheetView workbookViewId="0">
      <selection activeCell="H21" sqref="H21"/>
    </sheetView>
  </sheetViews>
  <sheetFormatPr defaultRowHeight="14.4" x14ac:dyDescent="0.3"/>
  <cols>
    <col min="1" max="1" width="12.88671875" customWidth="1"/>
    <col min="2" max="2" width="14.33203125" customWidth="1"/>
    <col min="3" max="3" width="21.21875" customWidth="1"/>
    <col min="5" max="5" width="20.77734375" customWidth="1"/>
    <col min="7" max="7" width="17.6640625" customWidth="1"/>
    <col min="8" max="8" width="21.33203125" customWidth="1"/>
    <col min="9" max="9" width="18.44140625" customWidth="1"/>
    <col min="10" max="10" width="13.5546875" customWidth="1"/>
  </cols>
  <sheetData>
    <row r="1" spans="1:10" ht="23.4" customHeight="1" x14ac:dyDescent="0.3">
      <c r="A1" s="1" t="s">
        <v>0</v>
      </c>
      <c r="B1" s="1" t="s">
        <v>3</v>
      </c>
      <c r="C1" s="1" t="s">
        <v>37</v>
      </c>
      <c r="D1" s="1" t="s">
        <v>5</v>
      </c>
      <c r="E1" s="1" t="s">
        <v>38</v>
      </c>
      <c r="F1" s="1" t="s">
        <v>4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3">
      <c r="A2" s="4" t="s">
        <v>6</v>
      </c>
      <c r="B2" s="6">
        <v>45787</v>
      </c>
      <c r="C2" t="str">
        <f ca="1">IF(B2&gt;TODAY(),"FAIL - Future Date","PASS")</f>
        <v>PASS</v>
      </c>
      <c r="D2" s="8">
        <v>35</v>
      </c>
      <c r="E2" t="str">
        <f>IF(D2="","Fail - Missing Age","PASS")</f>
        <v>PASS</v>
      </c>
      <c r="F2" s="10" t="s">
        <v>8</v>
      </c>
      <c r="G2" t="str">
        <f>IF(OR(F2="Male",F2="Female"),"PASS","FAIL - Invalid Gender")</f>
        <v>PASS</v>
      </c>
      <c r="H2" t="str">
        <f>IF(A2="","FAIL - Missing Patient_ID","PASS")</f>
        <v>PASS</v>
      </c>
      <c r="I2" t="str">
        <f>IF(COUNTIF($A$2:$A$16,A2)&gt;1,"FAIL - Duplicate ID","PASS")</f>
        <v>FAIL - Duplicate ID</v>
      </c>
      <c r="J2" t="str">
        <f ca="1">IF(AND(C2="PASS",E2="PASS",G2="PASS",H2="PASS",I2="PASS"),"PASS","FAIL")</f>
        <v>FAIL</v>
      </c>
    </row>
    <row r="3" spans="1:10" x14ac:dyDescent="0.3">
      <c r="A3" s="5" t="s">
        <v>9</v>
      </c>
      <c r="B3" s="7">
        <v>47623</v>
      </c>
      <c r="C3" t="str">
        <f t="shared" ref="C3:C16" ca="1" si="0">IF(B3&gt;TODAY(),"FAIL - Future Date","PASS")</f>
        <v>FAIL - Future Date</v>
      </c>
      <c r="D3" s="9">
        <v>40</v>
      </c>
      <c r="E3" t="str">
        <f t="shared" ref="E3:E16" si="1">IF(D3="","Fail - Missing Age","PASS")</f>
        <v>PASS</v>
      </c>
      <c r="F3" s="11" t="s">
        <v>11</v>
      </c>
      <c r="G3" t="str">
        <f t="shared" ref="G3:G16" si="2">IF(OR(F3="Male",F3="Female"),"PASS","FAIL - Invalid Gender")</f>
        <v>PASS</v>
      </c>
      <c r="H3" t="str">
        <f t="shared" ref="H3:H16" si="3">IF(A3="","FAIL - Missing Patient_ID","PASS")</f>
        <v>PASS</v>
      </c>
      <c r="I3" t="str">
        <f t="shared" ref="I3:I16" si="4">IF(COUNTIF($A$2:$A$16,A3)&gt;1,"FAIL - Duplicate ID","PASS")</f>
        <v>PASS</v>
      </c>
      <c r="J3" t="str">
        <f t="shared" ref="J3:J16" ca="1" si="5">IF(AND(C3="PASS",E3="PASS",G3="PASS",H3="PASS",I3="PASS"),"PASS","FAIL")</f>
        <v>FAIL</v>
      </c>
    </row>
    <row r="4" spans="1:10" x14ac:dyDescent="0.3">
      <c r="A4" s="4" t="s">
        <v>12</v>
      </c>
      <c r="B4" s="6">
        <v>45809</v>
      </c>
      <c r="C4" t="str">
        <f t="shared" ca="1" si="0"/>
        <v>PASS</v>
      </c>
      <c r="D4" s="8">
        <v>33</v>
      </c>
      <c r="E4" t="str">
        <f t="shared" si="1"/>
        <v>PASS</v>
      </c>
      <c r="F4" s="10" t="s">
        <v>8</v>
      </c>
      <c r="G4" t="str">
        <f t="shared" si="2"/>
        <v>PASS</v>
      </c>
      <c r="H4" t="str">
        <f t="shared" si="3"/>
        <v>PASS</v>
      </c>
      <c r="I4" t="str">
        <f t="shared" si="4"/>
        <v>PASS</v>
      </c>
      <c r="J4" t="str">
        <f t="shared" ca="1" si="5"/>
        <v>PASS</v>
      </c>
    </row>
    <row r="5" spans="1:10" x14ac:dyDescent="0.3">
      <c r="A5" s="5" t="s">
        <v>14</v>
      </c>
      <c r="B5" s="7">
        <v>45823</v>
      </c>
      <c r="C5" t="str">
        <f t="shared" ca="1" si="0"/>
        <v>PASS</v>
      </c>
      <c r="D5" s="9">
        <v>37</v>
      </c>
      <c r="E5" t="str">
        <f t="shared" si="1"/>
        <v>PASS</v>
      </c>
      <c r="F5" s="11" t="s">
        <v>11</v>
      </c>
      <c r="G5" t="str">
        <f t="shared" si="2"/>
        <v>PASS</v>
      </c>
      <c r="H5" t="str">
        <f t="shared" si="3"/>
        <v>PASS</v>
      </c>
      <c r="I5" t="str">
        <f t="shared" si="4"/>
        <v>PASS</v>
      </c>
      <c r="J5" t="str">
        <f t="shared" ca="1" si="5"/>
        <v>PASS</v>
      </c>
    </row>
    <row r="6" spans="1:10" x14ac:dyDescent="0.3">
      <c r="A6" s="4" t="s">
        <v>16</v>
      </c>
      <c r="B6" s="6">
        <v>45820</v>
      </c>
      <c r="C6" t="str">
        <f t="shared" ca="1" si="0"/>
        <v>PASS</v>
      </c>
      <c r="D6" s="8"/>
      <c r="E6" t="str">
        <f t="shared" si="1"/>
        <v>Fail - Missing Age</v>
      </c>
      <c r="F6" s="10" t="s">
        <v>8</v>
      </c>
      <c r="G6" t="str">
        <f t="shared" si="2"/>
        <v>PASS</v>
      </c>
      <c r="H6" t="str">
        <f t="shared" si="3"/>
        <v>PASS</v>
      </c>
      <c r="I6" t="str">
        <f t="shared" si="4"/>
        <v>PASS</v>
      </c>
      <c r="J6" t="str">
        <f t="shared" ca="1" si="5"/>
        <v>FAIL</v>
      </c>
    </row>
    <row r="7" spans="1:10" x14ac:dyDescent="0.3">
      <c r="A7" s="5" t="s">
        <v>18</v>
      </c>
      <c r="B7" s="7">
        <v>45826</v>
      </c>
      <c r="C7" t="str">
        <f t="shared" ca="1" si="0"/>
        <v>PASS</v>
      </c>
      <c r="D7" s="9">
        <v>34</v>
      </c>
      <c r="E7" t="str">
        <f t="shared" si="1"/>
        <v>PASS</v>
      </c>
      <c r="F7" s="11" t="s">
        <v>11</v>
      </c>
      <c r="G7" t="str">
        <f t="shared" si="2"/>
        <v>PASS</v>
      </c>
      <c r="H7" t="str">
        <f t="shared" si="3"/>
        <v>PASS</v>
      </c>
      <c r="I7" t="str">
        <f t="shared" si="4"/>
        <v>PASS</v>
      </c>
      <c r="J7" t="str">
        <f t="shared" ca="1" si="5"/>
        <v>PASS</v>
      </c>
    </row>
    <row r="8" spans="1:10" x14ac:dyDescent="0.3">
      <c r="A8" s="4" t="s">
        <v>20</v>
      </c>
      <c r="B8" s="6">
        <v>45830</v>
      </c>
      <c r="C8" t="str">
        <f t="shared" ca="1" si="0"/>
        <v>PASS</v>
      </c>
      <c r="D8" s="8">
        <v>38</v>
      </c>
      <c r="E8" t="str">
        <f t="shared" si="1"/>
        <v>PASS</v>
      </c>
      <c r="F8" s="10" t="s">
        <v>36</v>
      </c>
      <c r="G8" t="str">
        <f t="shared" si="2"/>
        <v>FAIL - Invalid Gender</v>
      </c>
      <c r="H8" t="str">
        <f t="shared" si="3"/>
        <v>PASS</v>
      </c>
      <c r="I8" t="str">
        <f t="shared" si="4"/>
        <v>PASS</v>
      </c>
      <c r="J8" t="str">
        <f t="shared" ca="1" si="5"/>
        <v>FAIL</v>
      </c>
    </row>
    <row r="9" spans="1:10" x14ac:dyDescent="0.3">
      <c r="A9" s="5" t="s">
        <v>22</v>
      </c>
      <c r="B9" s="7">
        <v>45833</v>
      </c>
      <c r="C9" t="str">
        <f t="shared" ca="1" si="0"/>
        <v>PASS</v>
      </c>
      <c r="D9" s="9">
        <v>32</v>
      </c>
      <c r="E9" t="str">
        <f t="shared" si="1"/>
        <v>PASS</v>
      </c>
      <c r="F9" s="11" t="s">
        <v>11</v>
      </c>
      <c r="G9" t="str">
        <f t="shared" si="2"/>
        <v>PASS</v>
      </c>
      <c r="H9" t="str">
        <f t="shared" si="3"/>
        <v>PASS</v>
      </c>
      <c r="I9" t="str">
        <f t="shared" si="4"/>
        <v>PASS</v>
      </c>
      <c r="J9" t="str">
        <f t="shared" ca="1" si="5"/>
        <v>PASS</v>
      </c>
    </row>
    <row r="10" spans="1:10" x14ac:dyDescent="0.3">
      <c r="A10" s="4" t="s">
        <v>24</v>
      </c>
      <c r="B10" s="6">
        <v>45836</v>
      </c>
      <c r="C10" t="str">
        <f t="shared" ca="1" si="0"/>
        <v>PASS</v>
      </c>
      <c r="D10" s="8">
        <v>35</v>
      </c>
      <c r="E10" t="str">
        <f t="shared" si="1"/>
        <v>PASS</v>
      </c>
      <c r="F10" s="10" t="s">
        <v>8</v>
      </c>
      <c r="G10" t="str">
        <f t="shared" si="2"/>
        <v>PASS</v>
      </c>
      <c r="H10" t="str">
        <f t="shared" si="3"/>
        <v>PASS</v>
      </c>
      <c r="I10" t="str">
        <f t="shared" si="4"/>
        <v>PASS</v>
      </c>
      <c r="J10" t="str">
        <f t="shared" ca="1" si="5"/>
        <v>PASS</v>
      </c>
    </row>
    <row r="11" spans="1:10" x14ac:dyDescent="0.3">
      <c r="A11" s="5"/>
      <c r="B11" s="7">
        <v>45838</v>
      </c>
      <c r="C11" t="str">
        <f t="shared" ca="1" si="0"/>
        <v>PASS</v>
      </c>
      <c r="D11" s="9">
        <v>36</v>
      </c>
      <c r="E11" t="str">
        <f t="shared" si="1"/>
        <v>PASS</v>
      </c>
      <c r="F11" s="11" t="s">
        <v>11</v>
      </c>
      <c r="G11" t="str">
        <f t="shared" si="2"/>
        <v>PASS</v>
      </c>
      <c r="H11" t="str">
        <f t="shared" si="3"/>
        <v>FAIL - Missing Patient_ID</v>
      </c>
      <c r="I11" t="str">
        <f t="shared" si="4"/>
        <v>PASS</v>
      </c>
      <c r="J11" t="str">
        <f t="shared" ca="1" si="5"/>
        <v>FAIL</v>
      </c>
    </row>
    <row r="12" spans="1:10" x14ac:dyDescent="0.3">
      <c r="A12" s="4" t="s">
        <v>27</v>
      </c>
      <c r="B12" s="6">
        <v>45840</v>
      </c>
      <c r="C12" t="str">
        <f t="shared" ca="1" si="0"/>
        <v>PASS</v>
      </c>
      <c r="D12" s="8">
        <v>31</v>
      </c>
      <c r="E12" t="str">
        <f t="shared" si="1"/>
        <v>PASS</v>
      </c>
      <c r="F12" s="10" t="s">
        <v>11</v>
      </c>
      <c r="G12" t="str">
        <f t="shared" si="2"/>
        <v>PASS</v>
      </c>
      <c r="H12" t="str">
        <f t="shared" si="3"/>
        <v>PASS</v>
      </c>
      <c r="I12" t="str">
        <f t="shared" si="4"/>
        <v>PASS</v>
      </c>
      <c r="J12" t="str">
        <f t="shared" ca="1" si="5"/>
        <v>PASS</v>
      </c>
    </row>
    <row r="13" spans="1:10" x14ac:dyDescent="0.3">
      <c r="A13" s="5" t="s">
        <v>29</v>
      </c>
      <c r="B13" s="7">
        <v>45843</v>
      </c>
      <c r="C13" t="str">
        <f t="shared" ca="1" si="0"/>
        <v>PASS</v>
      </c>
      <c r="D13" s="9">
        <v>39</v>
      </c>
      <c r="E13" t="str">
        <f t="shared" si="1"/>
        <v>PASS</v>
      </c>
      <c r="F13" s="11" t="s">
        <v>8</v>
      </c>
      <c r="G13" t="str">
        <f t="shared" si="2"/>
        <v>PASS</v>
      </c>
      <c r="H13" t="str">
        <f t="shared" si="3"/>
        <v>PASS</v>
      </c>
      <c r="I13" t="str">
        <f t="shared" si="4"/>
        <v>PASS</v>
      </c>
      <c r="J13" t="str">
        <f t="shared" ca="1" si="5"/>
        <v>PASS</v>
      </c>
    </row>
    <row r="14" spans="1:10" x14ac:dyDescent="0.3">
      <c r="A14" s="4" t="s">
        <v>6</v>
      </c>
      <c r="B14" s="6">
        <v>45846</v>
      </c>
      <c r="C14" t="str">
        <f t="shared" ca="1" si="0"/>
        <v>PASS</v>
      </c>
      <c r="D14" s="8">
        <v>34</v>
      </c>
      <c r="E14" t="str">
        <f t="shared" si="1"/>
        <v>PASS</v>
      </c>
      <c r="F14" s="10" t="s">
        <v>8</v>
      </c>
      <c r="G14" t="str">
        <f t="shared" si="2"/>
        <v>PASS</v>
      </c>
      <c r="H14" t="str">
        <f t="shared" si="3"/>
        <v>PASS</v>
      </c>
      <c r="I14" t="str">
        <f t="shared" si="4"/>
        <v>FAIL - Duplicate ID</v>
      </c>
      <c r="J14" t="str">
        <f t="shared" ca="1" si="5"/>
        <v>FAIL</v>
      </c>
    </row>
    <row r="15" spans="1:10" x14ac:dyDescent="0.3">
      <c r="A15" s="5" t="s">
        <v>32</v>
      </c>
      <c r="B15" s="7">
        <v>45848</v>
      </c>
      <c r="C15" t="str">
        <f t="shared" ca="1" si="0"/>
        <v>PASS</v>
      </c>
      <c r="D15" s="9">
        <v>33</v>
      </c>
      <c r="E15" t="str">
        <f t="shared" si="1"/>
        <v>PASS</v>
      </c>
      <c r="F15" s="11" t="s">
        <v>11</v>
      </c>
      <c r="G15" t="str">
        <f t="shared" si="2"/>
        <v>PASS</v>
      </c>
      <c r="H15" t="str">
        <f t="shared" si="3"/>
        <v>PASS</v>
      </c>
      <c r="I15" t="str">
        <f t="shared" si="4"/>
        <v>PASS</v>
      </c>
      <c r="J15" t="str">
        <f t="shared" ca="1" si="5"/>
        <v>PASS</v>
      </c>
    </row>
    <row r="16" spans="1:10" x14ac:dyDescent="0.3">
      <c r="A16" s="4" t="s">
        <v>34</v>
      </c>
      <c r="B16" s="6">
        <v>45853</v>
      </c>
      <c r="C16" t="str">
        <f t="shared" ca="1" si="0"/>
        <v>PASS</v>
      </c>
      <c r="D16" s="8">
        <v>37</v>
      </c>
      <c r="E16" t="str">
        <f t="shared" si="1"/>
        <v>PASS</v>
      </c>
      <c r="F16" s="10" t="s">
        <v>11</v>
      </c>
      <c r="G16" t="str">
        <f t="shared" si="2"/>
        <v>PASS</v>
      </c>
      <c r="H16" t="str">
        <f t="shared" si="3"/>
        <v>PASS</v>
      </c>
      <c r="I16" t="str">
        <f t="shared" si="4"/>
        <v>PASS</v>
      </c>
      <c r="J16" t="str">
        <f t="shared" ca="1" si="5"/>
        <v>PASS</v>
      </c>
    </row>
  </sheetData>
  <conditionalFormatting sqref="C1:C16 E1:J16">
    <cfRule type="containsText" dxfId="2" priority="2" operator="containsText" text="PASS">
      <formula>NOT(ISERROR(SEARCH("PASS",C1)))</formula>
    </cfRule>
    <cfRule type="containsText" dxfId="1" priority="1" operator="containsText" text="FAIL">
      <formula>NOT(ISERROR(SEARCH("FAIL",C1)))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F9201-B326-4341-8203-133B712DA962}">
  <dimension ref="A1:E6"/>
  <sheetViews>
    <sheetView workbookViewId="0">
      <selection activeCell="E7" sqref="E7"/>
    </sheetView>
  </sheetViews>
  <sheetFormatPr defaultRowHeight="14.4" x14ac:dyDescent="0.3"/>
  <cols>
    <col min="1" max="1" width="8.88671875" style="12"/>
    <col min="2" max="2" width="14.77734375" style="12" customWidth="1"/>
    <col min="3" max="3" width="15.88671875" style="12" customWidth="1"/>
    <col min="4" max="4" width="37.77734375" style="12" customWidth="1"/>
    <col min="5" max="16384" width="8.88671875" style="12"/>
  </cols>
  <sheetData>
    <row r="1" spans="1:5" ht="20.399999999999999" customHeight="1" x14ac:dyDescent="0.3">
      <c r="A1" s="13" t="s">
        <v>43</v>
      </c>
      <c r="B1" s="13" t="s">
        <v>0</v>
      </c>
      <c r="C1" s="13" t="s">
        <v>44</v>
      </c>
      <c r="D1" s="13" t="s">
        <v>45</v>
      </c>
      <c r="E1" s="13" t="s">
        <v>46</v>
      </c>
    </row>
    <row r="2" spans="1:5" ht="15" customHeight="1" x14ac:dyDescent="0.3">
      <c r="A2" s="14" t="s">
        <v>47</v>
      </c>
      <c r="B2" s="14" t="s">
        <v>9</v>
      </c>
      <c r="C2" s="14" t="s">
        <v>48</v>
      </c>
      <c r="D2" s="14" t="s">
        <v>49</v>
      </c>
      <c r="E2" s="14" t="s">
        <v>50</v>
      </c>
    </row>
    <row r="3" spans="1:5" ht="12" customHeight="1" x14ac:dyDescent="0.3">
      <c r="A3" s="14" t="s">
        <v>51</v>
      </c>
      <c r="B3" s="14" t="s">
        <v>16</v>
      </c>
      <c r="C3" s="14" t="s">
        <v>52</v>
      </c>
      <c r="D3" s="14" t="s">
        <v>53</v>
      </c>
      <c r="E3" s="14" t="s">
        <v>50</v>
      </c>
    </row>
    <row r="4" spans="1:5" ht="12.6" customHeight="1" x14ac:dyDescent="0.3">
      <c r="A4" s="14" t="s">
        <v>54</v>
      </c>
      <c r="B4" s="14" t="s">
        <v>20</v>
      </c>
      <c r="C4" s="14" t="s">
        <v>55</v>
      </c>
      <c r="D4" s="14" t="s">
        <v>56</v>
      </c>
      <c r="E4" s="14" t="s">
        <v>50</v>
      </c>
    </row>
    <row r="5" spans="1:5" ht="13.8" customHeight="1" x14ac:dyDescent="0.3">
      <c r="A5" s="14" t="s">
        <v>57</v>
      </c>
      <c r="B5" s="14" t="s">
        <v>58</v>
      </c>
      <c r="C5" s="14" t="s">
        <v>59</v>
      </c>
      <c r="D5" s="14" t="s">
        <v>60</v>
      </c>
      <c r="E5" s="14" t="s">
        <v>50</v>
      </c>
    </row>
    <row r="6" spans="1:5" ht="14.4" customHeight="1" x14ac:dyDescent="0.3">
      <c r="A6" s="14" t="s">
        <v>61</v>
      </c>
      <c r="B6" s="14" t="s">
        <v>6</v>
      </c>
      <c r="C6" s="14" t="s">
        <v>62</v>
      </c>
      <c r="D6" s="14" t="s">
        <v>63</v>
      </c>
      <c r="E6" s="14" t="s">
        <v>50</v>
      </c>
    </row>
  </sheetData>
  <dataValidations count="1">
    <dataValidation type="list" allowBlank="1" showInputMessage="1" showErrorMessage="1" sqref="E2:E6" xr:uid="{4DF6C261-A30C-4A03-A2E2-0290B75D31AD}">
      <formula1>"Open,Closed"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EB9B-F855-4F9E-91A9-8A3D3D210F5E}">
  <dimension ref="A1:B5"/>
  <sheetViews>
    <sheetView workbookViewId="0">
      <selection activeCell="B6" sqref="B6"/>
    </sheetView>
  </sheetViews>
  <sheetFormatPr defaultRowHeight="14.4" x14ac:dyDescent="0.3"/>
  <cols>
    <col min="1" max="1" width="14.77734375" customWidth="1"/>
  </cols>
  <sheetData>
    <row r="1" spans="1:2" x14ac:dyDescent="0.3">
      <c r="A1" s="13" t="s">
        <v>64</v>
      </c>
      <c r="B1" s="13" t="s">
        <v>65</v>
      </c>
    </row>
    <row r="2" spans="1:2" x14ac:dyDescent="0.3">
      <c r="A2" s="14" t="s">
        <v>66</v>
      </c>
      <c r="B2" s="14">
        <v>15</v>
      </c>
    </row>
    <row r="3" spans="1:2" x14ac:dyDescent="0.3">
      <c r="A3" s="14" t="s">
        <v>67</v>
      </c>
      <c r="B3" s="14">
        <f ca="1">COUNTIF('Validation_Checks| Patient_ID |'!J2:J16,"PASS")</f>
        <v>9</v>
      </c>
    </row>
    <row r="4" spans="1:2" x14ac:dyDescent="0.3">
      <c r="A4" s="14" t="s">
        <v>68</v>
      </c>
      <c r="B4" s="14">
        <f ca="1">COUNTIF('Validation_Checks| Patient_ID |'!J2:J16,"FAIL")</f>
        <v>6</v>
      </c>
    </row>
    <row r="5" spans="1:2" x14ac:dyDescent="0.3">
      <c r="A5" s="14" t="s">
        <v>69</v>
      </c>
      <c r="B5" s="14">
        <f>COUNTIF(Query_Log!E2:E6,"Open")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Validation_Checks| Patient_ID |</vt:lpstr>
      <vt:lpstr>Query_Log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 K P</dc:creator>
  <cp:lastModifiedBy>Anirudh K P</cp:lastModifiedBy>
  <dcterms:created xsi:type="dcterms:W3CDTF">2026-06-10T14:58:32Z</dcterms:created>
  <dcterms:modified xsi:type="dcterms:W3CDTF">2026-06-10T17:47:01Z</dcterms:modified>
</cp:coreProperties>
</file>